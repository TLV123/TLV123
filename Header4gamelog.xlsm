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ropbox\2021 MLB\GameLogs\"/>
    </mc:Choice>
  </mc:AlternateContent>
  <xr:revisionPtr revIDLastSave="0" documentId="8_{AD2B8D24-2218-4CEC-8CDC-A38B8A5822EE}" xr6:coauthVersionLast="46" xr6:coauthVersionMax="46" xr10:uidLastSave="{00000000-0000-0000-0000-000000000000}"/>
  <bookViews>
    <workbookView xWindow="-120" yWindow="-120" windowWidth="38640" windowHeight="15840" xr2:uid="{A9D10194-4E77-490C-BEA1-E0D08641A2C8}"/>
  </bookViews>
  <sheets>
    <sheet name="Sheet1" sheetId="1" r:id="rId1"/>
  </sheets>
  <definedNames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CorrelationEnabledState" hidden="1">1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G3" i="1" l="1"/>
  <c r="HF3" i="1"/>
  <c r="HE3" i="1"/>
  <c r="HD3" i="1"/>
  <c r="HC3" i="1"/>
  <c r="HB3" i="1"/>
  <c r="HA3" i="1"/>
  <c r="GZ3" i="1"/>
  <c r="FF3" i="1"/>
  <c r="HG2" i="1"/>
  <c r="HF2" i="1"/>
  <c r="HE2" i="1"/>
  <c r="HD2" i="1"/>
  <c r="HC2" i="1"/>
  <c r="HB2" i="1"/>
  <c r="HA2" i="1"/>
  <c r="GZ2" i="1"/>
  <c r="GG2" i="1"/>
  <c r="GF2" i="1"/>
  <c r="GE2" i="1"/>
  <c r="GD2" i="1"/>
  <c r="GC2" i="1"/>
  <c r="GB2" i="1"/>
  <c r="GA2" i="1"/>
  <c r="FZ2" i="1"/>
  <c r="FY2" i="1"/>
  <c r="FX2" i="1"/>
  <c r="FW2" i="1"/>
  <c r="FV2" i="1"/>
  <c r="FU2" i="1"/>
  <c r="FT2" i="1"/>
  <c r="FS2" i="1"/>
  <c r="FR2" i="1"/>
  <c r="FH2" i="1"/>
  <c r="FG2" i="1"/>
  <c r="FF2" i="1"/>
  <c r="FG3" i="1" s="1"/>
</calcChain>
</file>

<file path=xl/sharedStrings.xml><?xml version="1.0" encoding="utf-8"?>
<sst xmlns="http://schemas.openxmlformats.org/spreadsheetml/2006/main" count="204" uniqueCount="204">
  <si>
    <t>Date</t>
  </si>
  <si>
    <t>Gmcode</t>
  </si>
  <si>
    <t>DayWeek</t>
  </si>
  <si>
    <t>Rdtm</t>
  </si>
  <si>
    <t>RdLeague</t>
  </si>
  <si>
    <t>RdTmGameNo</t>
  </si>
  <si>
    <t>Hmtm</t>
  </si>
  <si>
    <t>HmLeague</t>
  </si>
  <si>
    <t>HmTmGameNo</t>
  </si>
  <si>
    <t>ScoreRd</t>
  </si>
  <si>
    <t>ScoreHm</t>
  </si>
  <si>
    <t>GameOuts</t>
  </si>
  <si>
    <t>DayNight</t>
  </si>
  <si>
    <t>CompleteInfo</t>
  </si>
  <si>
    <t>Forfeit</t>
  </si>
  <si>
    <t>Protest</t>
  </si>
  <si>
    <t>ParkD</t>
  </si>
  <si>
    <t>Attendence</t>
  </si>
  <si>
    <t>TimeMins</t>
  </si>
  <si>
    <t>RdScrbyInn</t>
  </si>
  <si>
    <t>HmScrbyInn</t>
  </si>
  <si>
    <t>Rd-at-bats</t>
  </si>
  <si>
    <t>Rd-hits</t>
  </si>
  <si>
    <t>Rd-2b</t>
  </si>
  <si>
    <t>Rd-3b</t>
  </si>
  <si>
    <t>Rd-HR</t>
  </si>
  <si>
    <t>Rd-RBI</t>
  </si>
  <si>
    <t>Rd-SacHits</t>
  </si>
  <si>
    <t>Rd-SacFlies</t>
  </si>
  <si>
    <t>Rd-HitbyPit</t>
  </si>
  <si>
    <t>Rd-Walks</t>
  </si>
  <si>
    <t>Rd-IntWalks</t>
  </si>
  <si>
    <t>Rd-Strikeout</t>
  </si>
  <si>
    <t>Rd-StolenBase</t>
  </si>
  <si>
    <t>Rd-CaughtS</t>
  </si>
  <si>
    <t>Rd-Doubleplay</t>
  </si>
  <si>
    <t>Rd-CatchInterfer</t>
  </si>
  <si>
    <t>Rd-LOB</t>
  </si>
  <si>
    <t>RdPit-NoPitchers</t>
  </si>
  <si>
    <t>RdPit-IndEarnedR</t>
  </si>
  <si>
    <t>RdPit-TmEarnedR</t>
  </si>
  <si>
    <t>RdPit-WildPit</t>
  </si>
  <si>
    <t>RdPit-Balks</t>
  </si>
  <si>
    <t>RdDef-Putouts</t>
  </si>
  <si>
    <t>RdDef-Assists</t>
  </si>
  <si>
    <t>RdDef-Errors</t>
  </si>
  <si>
    <t>RdDef-PassedBalls</t>
  </si>
  <si>
    <t>RdDef-DoublePlays</t>
  </si>
  <si>
    <t>RdDef-Balks</t>
  </si>
  <si>
    <t>Hm-at-bats</t>
  </si>
  <si>
    <t>Hm-hits</t>
  </si>
  <si>
    <t>Hm-2b</t>
  </si>
  <si>
    <t>Hm-3b</t>
  </si>
  <si>
    <t>Hm-HR</t>
  </si>
  <si>
    <t>Hm-RBI</t>
  </si>
  <si>
    <t>Hm-SacHits</t>
  </si>
  <si>
    <t>Hm-SacFlies</t>
  </si>
  <si>
    <t>Hm-HitbyPit</t>
  </si>
  <si>
    <t>Hm-Walks</t>
  </si>
  <si>
    <t>Hm-IntWalks</t>
  </si>
  <si>
    <t>Hm-Strikeout</t>
  </si>
  <si>
    <t>Hm-StolenBase</t>
  </si>
  <si>
    <t>Hm-CaughtS</t>
  </si>
  <si>
    <t>Hm-Doubleplay</t>
  </si>
  <si>
    <t>Hm-CatchInterfer</t>
  </si>
  <si>
    <t>Hm-LOB</t>
  </si>
  <si>
    <t>HmPit-NoPitchers</t>
  </si>
  <si>
    <t>HmPit-IndEarnedR</t>
  </si>
  <si>
    <t>HmPit-TmEarnedR</t>
  </si>
  <si>
    <t>HmPit-WildPit</t>
  </si>
  <si>
    <t>HmPit-Balks</t>
  </si>
  <si>
    <t>HmDef-Putouts</t>
  </si>
  <si>
    <t>HmDef-Assists</t>
  </si>
  <si>
    <t>HmDef-Errors</t>
  </si>
  <si>
    <t>HmDef-PassedBalls</t>
  </si>
  <si>
    <t>HmDef-DoublePlays</t>
  </si>
  <si>
    <t>HmDef-Balks</t>
  </si>
  <si>
    <t>Ump-HmPlateID</t>
  </si>
  <si>
    <t>Ump-HmPlateName</t>
  </si>
  <si>
    <t>Ump-1BID</t>
  </si>
  <si>
    <t>Ump-1BName</t>
  </si>
  <si>
    <t>Ump-2BID</t>
  </si>
  <si>
    <t>Ump-2BName</t>
  </si>
  <si>
    <t>Ump-3BID</t>
  </si>
  <si>
    <t>Ump-3BName</t>
  </si>
  <si>
    <t>Ump-LFID</t>
  </si>
  <si>
    <t>Ump-LFName</t>
  </si>
  <si>
    <t>Ump-RFID</t>
  </si>
  <si>
    <t>Ump-RFName</t>
  </si>
  <si>
    <t>Rd-MgrID</t>
  </si>
  <si>
    <t>Rd-MgrName</t>
  </si>
  <si>
    <t>Hm-MgrID</t>
  </si>
  <si>
    <t>Hm-MgrName</t>
  </si>
  <si>
    <t>Pit-WinID</t>
  </si>
  <si>
    <t>Pit-WinName</t>
  </si>
  <si>
    <t>Pit-LosingID</t>
  </si>
  <si>
    <t>Pit-LosingName</t>
  </si>
  <si>
    <t>Pit-SaveID</t>
  </si>
  <si>
    <t>Pit-SaveName</t>
  </si>
  <si>
    <t>Bat-IDwinRBI</t>
  </si>
  <si>
    <t>Bat-NamewinRBI</t>
  </si>
  <si>
    <t>RdPitStartID</t>
  </si>
  <si>
    <t>RdPitStartName</t>
  </si>
  <si>
    <t>HmPitStartID</t>
  </si>
  <si>
    <t>HmPitStartName</t>
  </si>
  <si>
    <t>RdPlayerID-1</t>
  </si>
  <si>
    <t>RdPlayerName-1</t>
  </si>
  <si>
    <t>RdPlayerPosition-1</t>
  </si>
  <si>
    <t>RdPlayerID-2</t>
  </si>
  <si>
    <t>RdPlayerName-2</t>
  </si>
  <si>
    <t>RdPlayerPosition-2</t>
  </si>
  <si>
    <t>RdPlayerID-3</t>
  </si>
  <si>
    <t>RdPlayerName-3</t>
  </si>
  <si>
    <t>RdPlayerPosition-3</t>
  </si>
  <si>
    <t>RdPlayerID-4</t>
  </si>
  <si>
    <t>RdPlayerName-4</t>
  </si>
  <si>
    <t>RdPlayerPosition-4</t>
  </si>
  <si>
    <t>RdPlayerID-5</t>
  </si>
  <si>
    <t>RdPlayerName-5</t>
  </si>
  <si>
    <t>RdPlayerPosition-5</t>
  </si>
  <si>
    <t>RdPlayerID-6</t>
  </si>
  <si>
    <t>RdPlayerName-6</t>
  </si>
  <si>
    <t>RdPlayerPosition-6</t>
  </si>
  <si>
    <t>RdPlayerID-7</t>
  </si>
  <si>
    <t>RdPlayerName-7</t>
  </si>
  <si>
    <t>RdPlayerPosition-7</t>
  </si>
  <si>
    <t>RdPlayerID-8</t>
  </si>
  <si>
    <t>RdPlayerName-8</t>
  </si>
  <si>
    <t>RdPlayerPosition-8</t>
  </si>
  <si>
    <t>RdPlayerID-9</t>
  </si>
  <si>
    <t>RdPlayerName-9</t>
  </si>
  <si>
    <t>RdPlayerPosition-9</t>
  </si>
  <si>
    <t>HmPlayerID-1</t>
  </si>
  <si>
    <t>HmPlayerName-1</t>
  </si>
  <si>
    <t>HmPlayerPosition-1</t>
  </si>
  <si>
    <t>HmPlayerID-2</t>
  </si>
  <si>
    <t>HmPlayerName-2</t>
  </si>
  <si>
    <t>HmPlayerPosition-2</t>
  </si>
  <si>
    <t>HmPlayerID-3</t>
  </si>
  <si>
    <t>HmPlayerName-3</t>
  </si>
  <si>
    <t>HmPlayerPosition-3</t>
  </si>
  <si>
    <t>HmPlayerID-4</t>
  </si>
  <si>
    <t>HmPlayerName-4</t>
  </si>
  <si>
    <t>HmPlayerPosition-4</t>
  </si>
  <si>
    <t>HmPlayerID-5</t>
  </si>
  <si>
    <t>HmPlayerName-5</t>
  </si>
  <si>
    <t>HmPlayerPosition-5</t>
  </si>
  <si>
    <t>HmPlayerID-6</t>
  </si>
  <si>
    <t>HmPlayerName-6</t>
  </si>
  <si>
    <t>HmPlayerPosition-6</t>
  </si>
  <si>
    <t>HmPlayerID-7</t>
  </si>
  <si>
    <t>HmPlayerName-7</t>
  </si>
  <si>
    <t>HmPlayerPosition-7</t>
  </si>
  <si>
    <t>HmPlayerID-8</t>
  </si>
  <si>
    <t>HmPlayerName-8</t>
  </si>
  <si>
    <t>HmPlayerPosition-8</t>
  </si>
  <si>
    <t>HmPlayerID-9</t>
  </si>
  <si>
    <t>HmPlayerName-9</t>
  </si>
  <si>
    <t>HmPlayerPosition-9</t>
  </si>
  <si>
    <t>MiscInfo</t>
  </si>
  <si>
    <t>AcqInfo</t>
  </si>
  <si>
    <t>TotalRuns</t>
  </si>
  <si>
    <t>Outs</t>
  </si>
  <si>
    <t>Runs/Out</t>
  </si>
  <si>
    <t>AB+BB</t>
  </si>
  <si>
    <t>%(2+3)</t>
  </si>
  <si>
    <t>%(1+2+3)</t>
  </si>
  <si>
    <t>%HR</t>
  </si>
  <si>
    <t>%BB</t>
  </si>
  <si>
    <t>HwinFlag</t>
  </si>
  <si>
    <t>AB+BB_Rd</t>
  </si>
  <si>
    <t>%1_Rd</t>
  </si>
  <si>
    <t>%2_Rd</t>
  </si>
  <si>
    <t>%3_Rd</t>
  </si>
  <si>
    <t>%(2+3)_Rd</t>
  </si>
  <si>
    <t>%(1+2+3)_Rd</t>
  </si>
  <si>
    <t>%HR_Rd</t>
  </si>
  <si>
    <t>%BB_Rd</t>
  </si>
  <si>
    <t>AB+BB_Hm</t>
  </si>
  <si>
    <t>%1_Hm</t>
  </si>
  <si>
    <t>%2_Hm</t>
  </si>
  <si>
    <t>%3_Hm</t>
  </si>
  <si>
    <t>%(2+3)_Hm</t>
  </si>
  <si>
    <t>%(1+2+3)_Hm</t>
  </si>
  <si>
    <t>%HR_Hm</t>
  </si>
  <si>
    <t>%BB_Hm</t>
  </si>
  <si>
    <t>Counter</t>
  </si>
  <si>
    <t>SumGam</t>
  </si>
  <si>
    <t>AB+BB_Total</t>
  </si>
  <si>
    <t>%1_T</t>
  </si>
  <si>
    <t>%2_T</t>
  </si>
  <si>
    <t>%3_T</t>
  </si>
  <si>
    <t>%(2+3)_T</t>
  </si>
  <si>
    <t>%(1+2+3)_T</t>
  </si>
  <si>
    <t>%HR_T</t>
  </si>
  <si>
    <t>%BB_T</t>
  </si>
  <si>
    <t>15Games</t>
  </si>
  <si>
    <t>2013 15Gms</t>
  </si>
  <si>
    <t>2012 15Gms</t>
  </si>
  <si>
    <t>2011 15Gms</t>
  </si>
  <si>
    <t>2010 15Gms</t>
  </si>
  <si>
    <t>2009 15Gms</t>
  </si>
  <si>
    <t>2013 1Gm</t>
  </si>
  <si>
    <t>2012 1Gm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</si>
</sst>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"/>
    <numFmt numFmtId="165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2" borderId="0" xfId="0" applyNumberFormat="1" applyFill="1"/>
    <xf numFmtId="0" fontId="0" fillId="2" borderId="0" xfId="0" applyFill="1"/>
    <xf numFmtId="0" fontId="1" fillId="3" borderId="0" xfId="0" applyFont="1" applyFill="1" applyAlignment="1">
      <alignment horizontal="center" vertical="center"/>
    </xf>
    <xf numFmtId="164" fontId="1" fillId="3" borderId="0" xfId="0" quotePrefix="1" applyNumberFormat="1" applyFont="1" applyFill="1" applyAlignment="1">
      <alignment horizontal="center" vertical="center"/>
    </xf>
    <xf numFmtId="0" fontId="1" fillId="3" borderId="0" xfId="0" quotePrefix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quotePrefix="1" applyFont="1" applyFill="1" applyBorder="1"/>
    <xf numFmtId="164" fontId="1" fillId="3" borderId="2" xfId="0" quotePrefix="1" applyNumberFormat="1" applyFont="1" applyFill="1" applyBorder="1"/>
    <xf numFmtId="164" fontId="1" fillId="3" borderId="3" xfId="0" quotePrefix="1" applyNumberFormat="1" applyFont="1" applyFill="1" applyBorder="1"/>
    <xf numFmtId="1" fontId="1" fillId="3" borderId="1" xfId="0" applyNumberFormat="1" applyFont="1" applyFill="1" applyBorder="1" applyAlignment="1">
      <alignment horizontal="center" vertical="center"/>
    </xf>
    <xf numFmtId="164" fontId="1" fillId="3" borderId="2" xfId="0" quotePrefix="1" applyNumberFormat="1" applyFont="1" applyFill="1" applyBorder="1" applyAlignment="1">
      <alignment horizontal="center" vertical="center"/>
    </xf>
    <xf numFmtId="164" fontId="1" fillId="3" borderId="4" xfId="0" quotePrefix="1" applyNumberFormat="1" applyFont="1" applyFill="1" applyBorder="1" applyAlignment="1">
      <alignment horizontal="center" vertical="center"/>
    </xf>
    <xf numFmtId="0" fontId="0" fillId="3" borderId="0" xfId="0" applyFill="1"/>
    <xf numFmtId="0" fontId="1" fillId="3" borderId="1" xfId="0" applyFont="1" applyFill="1" applyBorder="1" applyAlignment="1">
      <alignment horizontal="center" vertical="center" wrapText="1"/>
    </xf>
    <xf numFmtId="0" fontId="0" fillId="3" borderId="0" xfId="0" applyFill="1" applyAlignment="1">
      <alignment wrapText="1"/>
    </xf>
    <xf numFmtId="0" fontId="1" fillId="3" borderId="0" xfId="0" quotePrefix="1" applyFont="1" applyFill="1"/>
    <xf numFmtId="164" fontId="1" fillId="3" borderId="0" xfId="0" quotePrefix="1" applyNumberFormat="1" applyFont="1" applyFill="1"/>
    <xf numFmtId="165" fontId="1" fillId="3" borderId="0" xfId="0" applyNumberFormat="1" applyFont="1" applyFill="1" applyAlignment="1">
      <alignment horizontal="center" vertical="center"/>
    </xf>
    <xf numFmtId="165" fontId="0" fillId="0" borderId="0" xfId="0" applyNumberFormat="1"/>
    <xf numFmtId="1" fontId="1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A2292981-BA3D-4F93-961E-86129F294D4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39827-E340-46E5-A8E8-541E7EAEB622}">
  <dimension ref="A1:HV3"/>
  <sheetViews>
    <sheetView tabSelected="1" workbookViewId="0">
      <selection sqref="A1:XFD3"/>
    </sheetView>
  </sheetViews>
  <sheetFormatPr defaultRowHeight="15" x14ac:dyDescent="0.25"/>
  <sheetData>
    <row r="1" spans="1:230" s="2" customFormat="1" ht="26.45" customHeight="1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48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  <c r="BC1" s="2" t="s">
        <v>54</v>
      </c>
      <c r="BD1" s="2" t="s">
        <v>55</v>
      </c>
      <c r="BE1" s="2" t="s">
        <v>56</v>
      </c>
      <c r="BF1" s="2" t="s">
        <v>57</v>
      </c>
      <c r="BG1" s="2" t="s">
        <v>58</v>
      </c>
      <c r="BH1" s="2" t="s">
        <v>59</v>
      </c>
      <c r="BI1" s="2" t="s">
        <v>60</v>
      </c>
      <c r="BJ1" s="2" t="s">
        <v>61</v>
      </c>
      <c r="BK1" s="2" t="s">
        <v>62</v>
      </c>
      <c r="BL1" s="2" t="s">
        <v>63</v>
      </c>
      <c r="BM1" s="2" t="s">
        <v>64</v>
      </c>
      <c r="BN1" s="2" t="s">
        <v>65</v>
      </c>
      <c r="BO1" s="2" t="s">
        <v>66</v>
      </c>
      <c r="BP1" s="2" t="s">
        <v>67</v>
      </c>
      <c r="BQ1" s="2" t="s">
        <v>68</v>
      </c>
      <c r="BR1" s="2" t="s">
        <v>69</v>
      </c>
      <c r="BS1" s="2" t="s">
        <v>70</v>
      </c>
      <c r="BT1" s="2" t="s">
        <v>71</v>
      </c>
      <c r="BU1" s="2" t="s">
        <v>72</v>
      </c>
      <c r="BV1" s="2" t="s">
        <v>73</v>
      </c>
      <c r="BW1" s="2" t="s">
        <v>74</v>
      </c>
      <c r="BX1" s="2" t="s">
        <v>75</v>
      </c>
      <c r="BY1" s="2" t="s">
        <v>76</v>
      </c>
      <c r="BZ1" s="2" t="s">
        <v>77</v>
      </c>
      <c r="CA1" s="2" t="s">
        <v>78</v>
      </c>
      <c r="CB1" s="2" t="s">
        <v>79</v>
      </c>
      <c r="CC1" s="2" t="s">
        <v>80</v>
      </c>
      <c r="CD1" s="2" t="s">
        <v>81</v>
      </c>
      <c r="CE1" s="2" t="s">
        <v>82</v>
      </c>
      <c r="CF1" s="2" t="s">
        <v>83</v>
      </c>
      <c r="CG1" s="2" t="s">
        <v>84</v>
      </c>
      <c r="CH1" s="2" t="s">
        <v>85</v>
      </c>
      <c r="CI1" s="2" t="s">
        <v>86</v>
      </c>
      <c r="CJ1" s="2" t="s">
        <v>87</v>
      </c>
      <c r="CK1" s="2" t="s">
        <v>88</v>
      </c>
      <c r="CL1" s="2" t="s">
        <v>89</v>
      </c>
      <c r="CM1" s="2" t="s">
        <v>90</v>
      </c>
      <c r="CN1" s="2" t="s">
        <v>91</v>
      </c>
      <c r="CO1" s="2" t="s">
        <v>92</v>
      </c>
      <c r="CP1" s="2" t="s">
        <v>93</v>
      </c>
      <c r="CQ1" s="2" t="s">
        <v>94</v>
      </c>
      <c r="CR1" s="2" t="s">
        <v>95</v>
      </c>
      <c r="CS1" s="2" t="s">
        <v>96</v>
      </c>
      <c r="CT1" s="2" t="s">
        <v>97</v>
      </c>
      <c r="CU1" s="2" t="s">
        <v>98</v>
      </c>
      <c r="CV1" s="2" t="s">
        <v>99</v>
      </c>
      <c r="CW1" s="2" t="s">
        <v>100</v>
      </c>
      <c r="CX1" s="2" t="s">
        <v>101</v>
      </c>
      <c r="CY1" s="2" t="s">
        <v>102</v>
      </c>
      <c r="CZ1" s="2" t="s">
        <v>103</v>
      </c>
      <c r="DA1" s="2" t="s">
        <v>104</v>
      </c>
      <c r="DB1" s="2" t="s">
        <v>105</v>
      </c>
      <c r="DC1" s="2" t="s">
        <v>106</v>
      </c>
      <c r="DD1" s="2" t="s">
        <v>107</v>
      </c>
      <c r="DE1" s="2" t="s">
        <v>108</v>
      </c>
      <c r="DF1" s="2" t="s">
        <v>109</v>
      </c>
      <c r="DG1" s="2" t="s">
        <v>110</v>
      </c>
      <c r="DH1" s="2" t="s">
        <v>111</v>
      </c>
      <c r="DI1" s="2" t="s">
        <v>112</v>
      </c>
      <c r="DJ1" s="2" t="s">
        <v>113</v>
      </c>
      <c r="DK1" s="2" t="s">
        <v>114</v>
      </c>
      <c r="DL1" s="2" t="s">
        <v>115</v>
      </c>
      <c r="DM1" s="2" t="s">
        <v>116</v>
      </c>
      <c r="DN1" s="2" t="s">
        <v>117</v>
      </c>
      <c r="DO1" s="2" t="s">
        <v>118</v>
      </c>
      <c r="DP1" s="2" t="s">
        <v>119</v>
      </c>
      <c r="DQ1" s="2" t="s">
        <v>120</v>
      </c>
      <c r="DR1" s="2" t="s">
        <v>121</v>
      </c>
      <c r="DS1" s="2" t="s">
        <v>122</v>
      </c>
      <c r="DT1" s="2" t="s">
        <v>123</v>
      </c>
      <c r="DU1" s="2" t="s">
        <v>124</v>
      </c>
      <c r="DV1" s="2" t="s">
        <v>125</v>
      </c>
      <c r="DW1" s="2" t="s">
        <v>126</v>
      </c>
      <c r="DX1" s="2" t="s">
        <v>127</v>
      </c>
      <c r="DY1" s="2" t="s">
        <v>128</v>
      </c>
      <c r="DZ1" s="2" t="s">
        <v>129</v>
      </c>
      <c r="EA1" s="2" t="s">
        <v>130</v>
      </c>
      <c r="EB1" s="2" t="s">
        <v>131</v>
      </c>
      <c r="EC1" s="2" t="s">
        <v>132</v>
      </c>
      <c r="ED1" s="2" t="s">
        <v>133</v>
      </c>
      <c r="EE1" s="2" t="s">
        <v>134</v>
      </c>
      <c r="EF1" s="2" t="s">
        <v>135</v>
      </c>
      <c r="EG1" s="2" t="s">
        <v>136</v>
      </c>
      <c r="EH1" s="2" t="s">
        <v>137</v>
      </c>
      <c r="EI1" s="2" t="s">
        <v>138</v>
      </c>
      <c r="EJ1" s="2" t="s">
        <v>139</v>
      </c>
      <c r="EK1" s="2" t="s">
        <v>140</v>
      </c>
      <c r="EL1" s="2" t="s">
        <v>141</v>
      </c>
      <c r="EM1" s="2" t="s">
        <v>142</v>
      </c>
      <c r="EN1" s="2" t="s">
        <v>143</v>
      </c>
      <c r="EO1" s="2" t="s">
        <v>144</v>
      </c>
      <c r="EP1" s="2" t="s">
        <v>145</v>
      </c>
      <c r="EQ1" s="2" t="s">
        <v>146</v>
      </c>
      <c r="ER1" s="2" t="s">
        <v>147</v>
      </c>
      <c r="ES1" s="2" t="s">
        <v>148</v>
      </c>
      <c r="ET1" s="2" t="s">
        <v>149</v>
      </c>
      <c r="EU1" s="2" t="s">
        <v>150</v>
      </c>
      <c r="EV1" s="2" t="s">
        <v>151</v>
      </c>
      <c r="EW1" s="2" t="s">
        <v>152</v>
      </c>
      <c r="EX1" s="2" t="s">
        <v>153</v>
      </c>
      <c r="EY1" s="2" t="s">
        <v>154</v>
      </c>
      <c r="EZ1" s="2" t="s">
        <v>155</v>
      </c>
      <c r="FA1" s="2" t="s">
        <v>156</v>
      </c>
      <c r="FB1" s="2" t="s">
        <v>157</v>
      </c>
      <c r="FC1" s="2" t="s">
        <v>158</v>
      </c>
      <c r="FD1" s="2" t="s">
        <v>159</v>
      </c>
      <c r="FE1" s="2" t="s">
        <v>160</v>
      </c>
      <c r="FF1" s="3" t="s">
        <v>161</v>
      </c>
      <c r="FG1" s="3" t="s">
        <v>162</v>
      </c>
      <c r="FH1" s="3" t="s">
        <v>163</v>
      </c>
      <c r="FI1" s="3" t="s">
        <v>164</v>
      </c>
      <c r="FJ1" s="4">
        <v>0.01</v>
      </c>
      <c r="FK1" s="4">
        <v>0.02</v>
      </c>
      <c r="FL1" s="4">
        <v>0.03</v>
      </c>
      <c r="FM1" s="4" t="s">
        <v>165</v>
      </c>
      <c r="FN1" s="4" t="s">
        <v>166</v>
      </c>
      <c r="FO1" s="4" t="s">
        <v>167</v>
      </c>
      <c r="FP1" s="4" t="s">
        <v>168</v>
      </c>
      <c r="FQ1" s="5" t="s">
        <v>169</v>
      </c>
      <c r="FR1" s="6" t="s">
        <v>170</v>
      </c>
      <c r="FS1" s="7" t="s">
        <v>171</v>
      </c>
      <c r="FT1" s="7" t="s">
        <v>172</v>
      </c>
      <c r="FU1" s="7" t="s">
        <v>173</v>
      </c>
      <c r="FV1" s="8" t="s">
        <v>174</v>
      </c>
      <c r="FW1" s="8" t="s">
        <v>175</v>
      </c>
      <c r="FX1" s="9" t="s">
        <v>176</v>
      </c>
      <c r="FY1" s="9" t="s">
        <v>177</v>
      </c>
      <c r="FZ1" s="10" t="s">
        <v>178</v>
      </c>
      <c r="GA1" s="11" t="s">
        <v>179</v>
      </c>
      <c r="GB1" s="11" t="s">
        <v>180</v>
      </c>
      <c r="GC1" s="11" t="s">
        <v>181</v>
      </c>
      <c r="GD1" s="11" t="s">
        <v>182</v>
      </c>
      <c r="GE1" s="11" t="s">
        <v>183</v>
      </c>
      <c r="GF1" s="11" t="s">
        <v>184</v>
      </c>
      <c r="GG1" s="12" t="s">
        <v>185</v>
      </c>
      <c r="GH1" s="13" t="s">
        <v>186</v>
      </c>
      <c r="GI1" s="13" t="s">
        <v>187</v>
      </c>
      <c r="GJ1" s="14" t="s">
        <v>188</v>
      </c>
      <c r="GK1" s="7" t="s">
        <v>189</v>
      </c>
      <c r="GL1" s="7" t="s">
        <v>190</v>
      </c>
      <c r="GM1" s="7" t="s">
        <v>191</v>
      </c>
      <c r="GN1" s="8" t="s">
        <v>192</v>
      </c>
      <c r="GO1" s="8" t="s">
        <v>193</v>
      </c>
      <c r="GP1" s="9" t="s">
        <v>194</v>
      </c>
      <c r="GQ1" s="9" t="s">
        <v>195</v>
      </c>
      <c r="GR1" s="13"/>
      <c r="GS1" s="13"/>
      <c r="GT1" s="13"/>
      <c r="GU1" s="13"/>
      <c r="GV1" s="13"/>
      <c r="GW1" s="13"/>
      <c r="GX1" s="13"/>
      <c r="GY1" s="13"/>
      <c r="GZ1" s="13" t="s">
        <v>196</v>
      </c>
      <c r="HA1" s="15" t="s">
        <v>197</v>
      </c>
      <c r="HB1" s="15" t="s">
        <v>198</v>
      </c>
      <c r="HC1" s="15" t="s">
        <v>199</v>
      </c>
      <c r="HD1" s="15" t="s">
        <v>200</v>
      </c>
      <c r="HE1" s="15" t="s">
        <v>201</v>
      </c>
      <c r="HF1" s="15" t="s">
        <v>202</v>
      </c>
      <c r="HG1" s="15" t="s">
        <v>203</v>
      </c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</row>
    <row r="2" spans="1:230" s="2" customFormat="1" x14ac:dyDescent="0.25">
      <c r="A2" s="1"/>
      <c r="FF2" t="e">
        <f>AVERAGE(FF$4:FF$3002)</f>
        <v>#DIV/0!</v>
      </c>
      <c r="FG2" t="e">
        <f>AVERAGE(FG$4:FG$3002)</f>
        <v>#DIV/0!</v>
      </c>
      <c r="FH2" t="e">
        <f>AVERAGE(FH$4:FH$3002)</f>
        <v>#DIV/0!</v>
      </c>
      <c r="FI2" s="3"/>
      <c r="FJ2" s="4"/>
      <c r="FK2" s="4"/>
      <c r="FL2" s="4"/>
      <c r="FM2" s="4"/>
      <c r="FN2" s="4"/>
      <c r="FO2" s="4"/>
      <c r="FP2" s="4"/>
      <c r="FQ2" s="5"/>
      <c r="FR2" s="3" t="e">
        <f t="shared" ref="FR2:GG2" si="0">AVERAGE(FR$4:FR$3002)</f>
        <v>#DIV/0!</v>
      </c>
      <c r="FS2" s="16" t="e">
        <f t="shared" si="0"/>
        <v>#DIV/0!</v>
      </c>
      <c r="FT2" s="16" t="e">
        <f t="shared" si="0"/>
        <v>#DIV/0!</v>
      </c>
      <c r="FU2" s="16" t="e">
        <f t="shared" si="0"/>
        <v>#DIV/0!</v>
      </c>
      <c r="FV2" s="17" t="e">
        <f t="shared" si="0"/>
        <v>#DIV/0!</v>
      </c>
      <c r="FW2" s="17" t="e">
        <f t="shared" si="0"/>
        <v>#DIV/0!</v>
      </c>
      <c r="FX2" s="17" t="e">
        <f t="shared" si="0"/>
        <v>#DIV/0!</v>
      </c>
      <c r="FY2" s="17" t="e">
        <f t="shared" si="0"/>
        <v>#DIV/0!</v>
      </c>
      <c r="FZ2" s="18" t="e">
        <f t="shared" si="0"/>
        <v>#DIV/0!</v>
      </c>
      <c r="GA2" s="4" t="e">
        <f t="shared" si="0"/>
        <v>#DIV/0!</v>
      </c>
      <c r="GB2" s="4" t="e">
        <f t="shared" si="0"/>
        <v>#DIV/0!</v>
      </c>
      <c r="GC2" s="4" t="e">
        <f t="shared" si="0"/>
        <v>#DIV/0!</v>
      </c>
      <c r="GD2" s="4" t="e">
        <f t="shared" si="0"/>
        <v>#DIV/0!</v>
      </c>
      <c r="GE2" s="4" t="e">
        <f t="shared" si="0"/>
        <v>#DIV/0!</v>
      </c>
      <c r="GF2" s="4" t="e">
        <f t="shared" si="0"/>
        <v>#DIV/0!</v>
      </c>
      <c r="GG2" s="4" t="e">
        <f t="shared" si="0"/>
        <v>#DIV/0!</v>
      </c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9" t="e">
        <f>AVERAGE(GZ$4:GZ$13000)</f>
        <v>#DIV/0!</v>
      </c>
      <c r="HA2" t="e">
        <f>AVERAGE($GZ$4:$GZ$2433)</f>
        <v>#DIV/0!</v>
      </c>
      <c r="HB2" t="e">
        <f>AVERAGE($GZ$2434:$GZ$4864)</f>
        <v>#DIV/0!</v>
      </c>
      <c r="HC2" t="e">
        <f>AVERAGE($GZ$4865:$GZ$7293)</f>
        <v>#DIV/0!</v>
      </c>
      <c r="HD2" t="e">
        <f>AVERAGE($GZ$7294:$GZ$9723)</f>
        <v>#DIV/0!</v>
      </c>
      <c r="HE2" t="e">
        <f>AVERAGE($GZ$9724:$GZ$12153)</f>
        <v>#DIV/0!</v>
      </c>
      <c r="HF2" t="e">
        <f>AVERAGE($FF$4:$FF$2433)</f>
        <v>#DIV/0!</v>
      </c>
      <c r="HG2" t="e">
        <f>AVERAGE($FF$2434:$FF$4864)</f>
        <v>#DIV/0!</v>
      </c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</row>
    <row r="3" spans="1:230" s="2" customFormat="1" x14ac:dyDescent="0.25">
      <c r="A3" s="1"/>
      <c r="FF3" t="e">
        <f>STDEV(FF$4:FF$3002)</f>
        <v>#DIV/0!</v>
      </c>
      <c r="FG3" s="3" t="e">
        <f>FF2/FG2</f>
        <v>#DIV/0!</v>
      </c>
      <c r="FH3" s="3"/>
      <c r="FI3" s="3"/>
      <c r="FJ3" s="4"/>
      <c r="FK3" s="4"/>
      <c r="FL3" s="4"/>
      <c r="FM3" s="4"/>
      <c r="FN3" s="4"/>
      <c r="FO3" s="4"/>
      <c r="FP3" s="4"/>
      <c r="FQ3" s="5"/>
      <c r="FR3" s="3"/>
      <c r="FS3" s="16"/>
      <c r="FT3" s="16"/>
      <c r="FU3" s="16"/>
      <c r="FV3" s="17"/>
      <c r="FW3" s="17"/>
      <c r="FX3" s="17"/>
      <c r="FY3" s="17"/>
      <c r="FZ3" s="20"/>
      <c r="GA3" s="4"/>
      <c r="GB3" s="4"/>
      <c r="GC3" s="4"/>
      <c r="GD3" s="4"/>
      <c r="GE3" s="4"/>
      <c r="GF3" s="4"/>
      <c r="GG3" s="4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9" t="e">
        <f>STDEV(GZ$4:GZ$13000)</f>
        <v>#DIV/0!</v>
      </c>
      <c r="HA3" t="e">
        <f>STDEV($GZ$4:$GZ$2433)</f>
        <v>#DIV/0!</v>
      </c>
      <c r="HB3" t="e">
        <f>STDEV($GZ$2434:$GZ$4864)</f>
        <v>#DIV/0!</v>
      </c>
      <c r="HC3" t="e">
        <f>STDEV($GZ$4865:$GZ$7293)</f>
        <v>#DIV/0!</v>
      </c>
      <c r="HD3" t="e">
        <f>STDEV($GZ$7294:$GZ$9723)</f>
        <v>#DIV/0!</v>
      </c>
      <c r="HE3" t="e">
        <f>STDEV($GZ$9724:$GZ$12153)</f>
        <v>#DIV/0!</v>
      </c>
      <c r="HF3" t="e">
        <f>STDEV($FF$4:$FF$2433)</f>
        <v>#DIV/0!</v>
      </c>
      <c r="HG3" t="e">
        <f>STDEV($FF$2434:$FF$4864)</f>
        <v>#DIV/0!</v>
      </c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Clay</dc:creator>
  <cp:lastModifiedBy>Clay</cp:lastModifiedBy>
  <dcterms:created xsi:type="dcterms:W3CDTF">2021-03-30T11:38:19Z</dcterms:created>
  <dcterms:modified xsi:type="dcterms:W3CDTF">2021-03-30T12:42:01Z</dcterms:modified>
</cp:coreProperties>
</file>